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endrafiske/Visual Computing/"/>
    </mc:Choice>
  </mc:AlternateContent>
  <xr:revisionPtr revIDLastSave="0" documentId="13_ncr:1_{72AB6BAA-5E4B-D545-95D1-7E262D222E2E}" xr6:coauthVersionLast="47" xr6:coauthVersionMax="47" xr10:uidLastSave="{00000000-0000-0000-0000-000000000000}"/>
  <bookViews>
    <workbookView xWindow="0" yWindow="500" windowWidth="28800" windowHeight="15800" activeTab="1" xr2:uid="{DF343CA9-F7A2-344E-9CC4-7E9ED5FA10BA}"/>
  </bookViews>
  <sheets>
    <sheet name="Implementation" sheetId="1" r:id="rId1"/>
    <sheet name="Novel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O15" i="1"/>
  <c r="O9" i="1"/>
  <c r="O14" i="1"/>
  <c r="O8" i="1"/>
  <c r="O20" i="1"/>
</calcChain>
</file>

<file path=xl/sharedStrings.xml><?xml version="1.0" encoding="utf-8"?>
<sst xmlns="http://schemas.openxmlformats.org/spreadsheetml/2006/main" count="44" uniqueCount="34">
  <si>
    <t>C2R</t>
  </si>
  <si>
    <t>C2S</t>
  </si>
  <si>
    <t>P2C</t>
  </si>
  <si>
    <t>P2R</t>
  </si>
  <si>
    <t>R2C</t>
  </si>
  <si>
    <t>P2S</t>
  </si>
  <si>
    <t>R2P</t>
  </si>
  <si>
    <t>R2S</t>
  </si>
  <si>
    <t>S2C</t>
  </si>
  <si>
    <t>S2P</t>
  </si>
  <si>
    <t>S2R</t>
  </si>
  <si>
    <t>C2P</t>
  </si>
  <si>
    <t>Avg.</t>
  </si>
  <si>
    <t>V</t>
  </si>
  <si>
    <t>PDA - source-only</t>
  </si>
  <si>
    <t>PDA - tta</t>
  </si>
  <si>
    <t>ODA - source-only</t>
  </si>
  <si>
    <t>ODA - tta</t>
  </si>
  <si>
    <t>OPDA - source-only</t>
  </si>
  <si>
    <t>OPDA - tta</t>
  </si>
  <si>
    <t>Paper</t>
  </si>
  <si>
    <t>Implementation</t>
  </si>
  <si>
    <t>After Normalization</t>
  </si>
  <si>
    <t>PDA</t>
  </si>
  <si>
    <t>ODA</t>
  </si>
  <si>
    <t>OPDA</t>
  </si>
  <si>
    <t>Before Normalization</t>
  </si>
  <si>
    <t>After Regularisation</t>
  </si>
  <si>
    <t>weighted contrastive loss</t>
  </si>
  <si>
    <t>Adaptive per-class decay factor α</t>
  </si>
  <si>
    <t>Simulating Multimodality</t>
  </si>
  <si>
    <t>Call to torch.distributions.MultivariateNormal</t>
  </si>
  <si>
    <t>to increase speed by 2.5x</t>
  </si>
  <si>
    <t>Continual OOD threshold recalibration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</si>
</sst>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5683-CDE0-A149-B8A0-B6E686031F91}">
  <dimension ref="A4:P21"/>
  <sheetViews>
    <sheetView workbookViewId="0">
      <selection activeCell="H26" sqref="B23:H26"/>
    </sheetView>
  </sheetViews>
  <sheetFormatPr baseColWidth="10" defaultRowHeight="16" x14ac:dyDescent="0.2"/>
  <cols>
    <col min="1" max="1" width="17.6640625" bestFit="1" customWidth="1"/>
    <col min="2" max="2" width="19.1640625" bestFit="1" customWidth="1"/>
    <col min="3" max="3" width="19" bestFit="1" customWidth="1"/>
    <col min="4" max="4" width="17.6640625" bestFit="1" customWidth="1"/>
    <col min="5" max="5" width="20.33203125" bestFit="1" customWidth="1"/>
    <col min="6" max="6" width="15.33203125" customWidth="1"/>
    <col min="7" max="7" width="14.6640625" customWidth="1"/>
    <col min="8" max="8" width="13.1640625" customWidth="1"/>
    <col min="9" max="9" width="11.6640625" customWidth="1"/>
    <col min="10" max="10" width="11.5" customWidth="1"/>
  </cols>
  <sheetData>
    <row r="4" spans="1:16" ht="19" x14ac:dyDescent="0.25">
      <c r="A4" s="1"/>
      <c r="B4" s="1"/>
      <c r="C4" s="1" t="s">
        <v>11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5</v>
      </c>
      <c r="I4" s="1" t="s">
        <v>4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12</v>
      </c>
      <c r="P4" s="1" t="s">
        <v>13</v>
      </c>
    </row>
    <row r="5" spans="1:16" ht="19" x14ac:dyDescent="0.25">
      <c r="A5" s="1" t="s">
        <v>20</v>
      </c>
      <c r="B5" s="1" t="s">
        <v>14</v>
      </c>
      <c r="C5">
        <v>17.5</v>
      </c>
      <c r="D5">
        <v>31.3</v>
      </c>
      <c r="E5">
        <v>21</v>
      </c>
      <c r="F5">
        <v>25</v>
      </c>
      <c r="G5">
        <v>41.5</v>
      </c>
      <c r="H5">
        <v>24</v>
      </c>
      <c r="I5">
        <v>34.1</v>
      </c>
      <c r="J5">
        <v>30.5</v>
      </c>
      <c r="K5">
        <v>22.7</v>
      </c>
      <c r="L5">
        <v>24.7</v>
      </c>
      <c r="M5">
        <v>17.8</v>
      </c>
      <c r="N5">
        <v>25.2</v>
      </c>
      <c r="O5">
        <v>26.28</v>
      </c>
      <c r="P5">
        <v>17.100000000000001</v>
      </c>
    </row>
    <row r="6" spans="1:16" ht="19" x14ac:dyDescent="0.25">
      <c r="A6" s="1"/>
      <c r="B6" s="1" t="s">
        <v>15</v>
      </c>
      <c r="C6">
        <v>28.3</v>
      </c>
      <c r="D6">
        <v>41</v>
      </c>
      <c r="E6">
        <v>32.700000000000003</v>
      </c>
      <c r="F6">
        <v>34.700000000000003</v>
      </c>
      <c r="G6">
        <v>44.6</v>
      </c>
      <c r="H6">
        <v>34.299999999999997</v>
      </c>
      <c r="I6">
        <v>43.4</v>
      </c>
      <c r="J6">
        <v>40.1</v>
      </c>
      <c r="K6">
        <v>33.4</v>
      </c>
      <c r="L6">
        <v>41.4</v>
      </c>
      <c r="M6">
        <v>34.5</v>
      </c>
      <c r="N6">
        <v>40.9</v>
      </c>
      <c r="O6">
        <v>37.44</v>
      </c>
      <c r="P6">
        <v>41.2</v>
      </c>
    </row>
    <row r="7" spans="1:16" ht="19" x14ac:dyDescent="0.25">
      <c r="A7" s="1"/>
      <c r="B7" s="1"/>
    </row>
    <row r="8" spans="1:16" ht="19" x14ac:dyDescent="0.25">
      <c r="A8" s="1" t="s">
        <v>21</v>
      </c>
      <c r="B8" s="1" t="s">
        <v>14</v>
      </c>
      <c r="C8">
        <v>17.408999999999999</v>
      </c>
      <c r="D8">
        <v>31.140999999999998</v>
      </c>
      <c r="E8">
        <v>21.004999999999999</v>
      </c>
      <c r="F8">
        <v>24.977</v>
      </c>
      <c r="G8">
        <v>41.470999999999997</v>
      </c>
      <c r="H8">
        <v>23.952000000000002</v>
      </c>
      <c r="I8">
        <v>34.177</v>
      </c>
      <c r="J8">
        <v>30.568000000000001</v>
      </c>
      <c r="K8">
        <v>22.742000000000001</v>
      </c>
      <c r="L8">
        <v>24.757999999999999</v>
      </c>
      <c r="M8">
        <v>17.923999999999999</v>
      </c>
      <c r="N8">
        <v>25.242999999999999</v>
      </c>
      <c r="O8" s="2">
        <f>AVERAGE(C8:N8)</f>
        <v>26.280583333333329</v>
      </c>
      <c r="P8">
        <v>16.974900000000002</v>
      </c>
    </row>
    <row r="9" spans="1:16" ht="19" x14ac:dyDescent="0.25">
      <c r="A9" s="1"/>
      <c r="B9" s="1" t="s">
        <v>15</v>
      </c>
      <c r="C9">
        <v>28</v>
      </c>
      <c r="D9">
        <v>37.9</v>
      </c>
      <c r="E9">
        <v>32</v>
      </c>
      <c r="F9">
        <v>34.4</v>
      </c>
      <c r="G9">
        <v>44.9</v>
      </c>
      <c r="H9">
        <v>34</v>
      </c>
      <c r="I9">
        <v>43.2</v>
      </c>
      <c r="J9">
        <v>39.5</v>
      </c>
      <c r="K9">
        <v>33.5</v>
      </c>
      <c r="L9">
        <v>41.6</v>
      </c>
      <c r="M9">
        <v>34.299999999999997</v>
      </c>
      <c r="N9">
        <v>39.5</v>
      </c>
      <c r="O9">
        <f>AVERAGE(C9:N9)</f>
        <v>36.900000000000006</v>
      </c>
      <c r="P9">
        <v>40.9</v>
      </c>
    </row>
    <row r="10" spans="1:16" ht="19" x14ac:dyDescent="0.25">
      <c r="A10" s="1"/>
      <c r="B10" s="1"/>
    </row>
    <row r="11" spans="1:16" ht="19" x14ac:dyDescent="0.25">
      <c r="A11" s="1" t="s">
        <v>20</v>
      </c>
      <c r="B11" s="1" t="s">
        <v>16</v>
      </c>
      <c r="C11">
        <v>36.299999999999997</v>
      </c>
      <c r="D11">
        <v>51.3</v>
      </c>
      <c r="E11">
        <v>39.9</v>
      </c>
      <c r="F11">
        <v>41.2</v>
      </c>
      <c r="G11">
        <v>57.8</v>
      </c>
      <c r="H11">
        <v>40.4</v>
      </c>
      <c r="I11">
        <v>50.2</v>
      </c>
      <c r="J11">
        <v>47</v>
      </c>
      <c r="K11">
        <v>38.4</v>
      </c>
      <c r="L11">
        <v>44.4</v>
      </c>
      <c r="M11">
        <v>30.7</v>
      </c>
      <c r="N11">
        <v>45.9</v>
      </c>
      <c r="O11">
        <v>43.63</v>
      </c>
      <c r="P11">
        <v>31.7</v>
      </c>
    </row>
    <row r="12" spans="1:16" ht="19" x14ac:dyDescent="0.25">
      <c r="A12" s="1"/>
      <c r="B12" s="1" t="s">
        <v>17</v>
      </c>
      <c r="C12">
        <v>43.3</v>
      </c>
      <c r="D12">
        <v>54.4</v>
      </c>
      <c r="E12">
        <v>46.7</v>
      </c>
      <c r="F12">
        <v>47</v>
      </c>
      <c r="G12">
        <v>56.2</v>
      </c>
      <c r="H12">
        <v>44</v>
      </c>
      <c r="I12">
        <v>50.7</v>
      </c>
      <c r="J12">
        <v>49.9</v>
      </c>
      <c r="K12">
        <v>44.2</v>
      </c>
      <c r="L12">
        <v>52.6</v>
      </c>
      <c r="M12">
        <v>45.7</v>
      </c>
      <c r="N12">
        <v>54.9</v>
      </c>
      <c r="O12">
        <v>49.13</v>
      </c>
      <c r="P12">
        <v>59.9</v>
      </c>
    </row>
    <row r="13" spans="1:16" ht="19" x14ac:dyDescent="0.25">
      <c r="A13" s="1"/>
      <c r="B13" s="1"/>
    </row>
    <row r="14" spans="1:16" ht="19" x14ac:dyDescent="0.25">
      <c r="A14" s="1" t="s">
        <v>21</v>
      </c>
      <c r="B14" s="1" t="s">
        <v>16</v>
      </c>
      <c r="C14">
        <v>36.277999999999999</v>
      </c>
      <c r="D14">
        <v>51.212000000000003</v>
      </c>
      <c r="E14">
        <v>39.859000000000002</v>
      </c>
      <c r="F14">
        <v>41.198</v>
      </c>
      <c r="G14">
        <v>57.811</v>
      </c>
      <c r="H14">
        <v>40.420999999999999</v>
      </c>
      <c r="I14">
        <v>50.194000000000003</v>
      </c>
      <c r="J14">
        <v>47.115000000000002</v>
      </c>
      <c r="K14">
        <v>38.457000000000001</v>
      </c>
      <c r="L14">
        <v>44.438000000000002</v>
      </c>
      <c r="M14">
        <v>30.733000000000001</v>
      </c>
      <c r="N14">
        <v>45.905999999999999</v>
      </c>
      <c r="O14" s="3">
        <f>AVERAGE(C14:N14)</f>
        <v>43.63516666666667</v>
      </c>
      <c r="P14">
        <v>32.1706</v>
      </c>
    </row>
    <row r="15" spans="1:16" ht="19" x14ac:dyDescent="0.25">
      <c r="A15" s="1"/>
      <c r="B15" s="1" t="s">
        <v>17</v>
      </c>
      <c r="C15">
        <v>42.74</v>
      </c>
      <c r="D15">
        <v>54.070999999999998</v>
      </c>
      <c r="E15">
        <v>46.537999999999997</v>
      </c>
      <c r="F15">
        <v>46.655000000000001</v>
      </c>
      <c r="G15">
        <v>56.094999999999999</v>
      </c>
      <c r="H15">
        <v>43.643999999999998</v>
      </c>
      <c r="I15">
        <v>50.54</v>
      </c>
      <c r="J15">
        <v>49.86</v>
      </c>
      <c r="K15">
        <v>43.978000000000002</v>
      </c>
      <c r="L15">
        <v>52.036000000000001</v>
      </c>
      <c r="M15">
        <v>45.134</v>
      </c>
      <c r="N15">
        <v>54.061</v>
      </c>
      <c r="O15" s="2">
        <f>AVERAGE(C15:N15)</f>
        <v>48.779333333333341</v>
      </c>
      <c r="P15">
        <v>60.067999999999998</v>
      </c>
    </row>
    <row r="16" spans="1:16" ht="19" x14ac:dyDescent="0.25">
      <c r="A16" s="1"/>
      <c r="B16" s="1"/>
    </row>
    <row r="17" spans="1:16" ht="19" x14ac:dyDescent="0.25">
      <c r="A17" s="1" t="s">
        <v>20</v>
      </c>
      <c r="B17" s="1" t="s">
        <v>18</v>
      </c>
      <c r="C17">
        <v>39.5</v>
      </c>
      <c r="D17">
        <v>55.4</v>
      </c>
      <c r="E17">
        <v>42.7</v>
      </c>
      <c r="F17">
        <v>42</v>
      </c>
      <c r="G17">
        <v>57.6</v>
      </c>
      <c r="H17">
        <v>38.799999999999997</v>
      </c>
      <c r="I17">
        <v>51.7</v>
      </c>
      <c r="J17">
        <v>47.6</v>
      </c>
      <c r="K17">
        <v>38.6</v>
      </c>
      <c r="L17">
        <v>46.8</v>
      </c>
      <c r="M17">
        <v>32.200000000000003</v>
      </c>
      <c r="N17">
        <v>47.9</v>
      </c>
      <c r="O17">
        <v>45.07</v>
      </c>
      <c r="P17">
        <v>26.9</v>
      </c>
    </row>
    <row r="18" spans="1:16" ht="19" x14ac:dyDescent="0.25">
      <c r="A18" s="1"/>
      <c r="B18" s="1" t="s">
        <v>19</v>
      </c>
      <c r="C18">
        <v>46.4</v>
      </c>
      <c r="D18">
        <v>57.6</v>
      </c>
      <c r="E18">
        <v>48.4</v>
      </c>
      <c r="F18">
        <v>48.5</v>
      </c>
      <c r="G18">
        <v>57.1</v>
      </c>
      <c r="H18">
        <v>44.2</v>
      </c>
      <c r="I18">
        <v>51.9</v>
      </c>
      <c r="J18">
        <v>50.9</v>
      </c>
      <c r="K18">
        <v>44.8</v>
      </c>
      <c r="L18">
        <v>53.9</v>
      </c>
      <c r="M18">
        <v>46.7</v>
      </c>
      <c r="N18">
        <v>56.3</v>
      </c>
      <c r="O18">
        <v>50.56</v>
      </c>
      <c r="P18">
        <v>60.3</v>
      </c>
    </row>
    <row r="19" spans="1:16" ht="19" x14ac:dyDescent="0.25">
      <c r="A19" s="1"/>
      <c r="B19" s="1"/>
    </row>
    <row r="20" spans="1:16" ht="19" x14ac:dyDescent="0.25">
      <c r="A20" s="1" t="s">
        <v>21</v>
      </c>
      <c r="B20" s="1" t="s">
        <v>18</v>
      </c>
      <c r="C20">
        <v>39.417999999999999</v>
      </c>
      <c r="D20">
        <v>55.262999999999998</v>
      </c>
      <c r="E20">
        <v>42.685000000000002</v>
      </c>
      <c r="F20">
        <v>42.026000000000003</v>
      </c>
      <c r="G20">
        <v>57.634999999999998</v>
      </c>
      <c r="H20">
        <v>38.793999999999997</v>
      </c>
      <c r="I20">
        <v>51.636000000000003</v>
      </c>
      <c r="J20">
        <v>47.625</v>
      </c>
      <c r="K20">
        <v>38.625999999999998</v>
      </c>
      <c r="L20">
        <v>46.872999999999998</v>
      </c>
      <c r="M20">
        <v>32.064999999999998</v>
      </c>
      <c r="N20">
        <v>47.866999999999997</v>
      </c>
      <c r="O20" s="2">
        <f>AVERAGE(C20:N20)</f>
        <v>45.042749999999991</v>
      </c>
      <c r="P20">
        <v>26.777000000000001</v>
      </c>
    </row>
    <row r="21" spans="1:16" ht="19" x14ac:dyDescent="0.25">
      <c r="A21" s="1"/>
      <c r="B21" s="1" t="s">
        <v>19</v>
      </c>
      <c r="C21">
        <v>45.500999999999998</v>
      </c>
      <c r="D21">
        <v>57.225999999999999</v>
      </c>
      <c r="E21">
        <v>48.377000000000002</v>
      </c>
      <c r="F21">
        <v>48.307000000000002</v>
      </c>
      <c r="G21">
        <v>57.048999999999999</v>
      </c>
      <c r="H21">
        <v>44.006999999999998</v>
      </c>
      <c r="I21">
        <v>52.332000000000001</v>
      </c>
      <c r="J21">
        <v>51.082000000000001</v>
      </c>
      <c r="K21">
        <v>44.673999999999999</v>
      </c>
      <c r="L21">
        <v>54.143000000000001</v>
      </c>
      <c r="M21">
        <v>46.06</v>
      </c>
      <c r="N21">
        <v>56.2</v>
      </c>
      <c r="O21" s="2">
        <f>AVERAGE(C21:N21)</f>
        <v>50.413166666666676</v>
      </c>
      <c r="P21">
        <v>60.896999999999998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794-D335-9143-AF7F-2E76B5F786BF}">
  <dimension ref="C6:K9"/>
  <sheetViews>
    <sheetView tabSelected="1" workbookViewId="0">
      <selection activeCell="J10" sqref="J10"/>
    </sheetView>
  </sheetViews>
  <sheetFormatPr baseColWidth="10" defaultRowHeight="16" x14ac:dyDescent="0.2"/>
  <cols>
    <col min="4" max="4" width="19" bestFit="1" customWidth="1"/>
    <col min="5" max="5" width="17.6640625" bestFit="1" customWidth="1"/>
    <col min="6" max="6" width="17.83203125" bestFit="1" customWidth="1"/>
    <col min="7" max="7" width="22.33203125" bestFit="1" customWidth="1"/>
    <col min="8" max="8" width="28.6640625" bestFit="1" customWidth="1"/>
    <col min="9" max="9" width="22.33203125" bestFit="1" customWidth="1"/>
    <col min="10" max="10" width="32.83203125" bestFit="1" customWidth="1"/>
  </cols>
  <sheetData>
    <row r="6" spans="3:11" x14ac:dyDescent="0.2">
      <c r="D6" t="s">
        <v>26</v>
      </c>
      <c r="E6" t="s">
        <v>22</v>
      </c>
      <c r="F6" t="s">
        <v>27</v>
      </c>
      <c r="G6" t="s">
        <v>28</v>
      </c>
      <c r="H6" t="s">
        <v>29</v>
      </c>
      <c r="I6" t="s">
        <v>30</v>
      </c>
      <c r="J6" t="s">
        <v>33</v>
      </c>
      <c r="K6" t="s">
        <v>31</v>
      </c>
    </row>
    <row r="7" spans="3:11" x14ac:dyDescent="0.2">
      <c r="C7" t="s">
        <v>23</v>
      </c>
      <c r="D7">
        <v>43.8</v>
      </c>
      <c r="E7">
        <v>40.6</v>
      </c>
      <c r="F7">
        <v>40.6</v>
      </c>
      <c r="G7">
        <v>40.6</v>
      </c>
      <c r="H7">
        <v>42.2</v>
      </c>
      <c r="I7">
        <v>42.2</v>
      </c>
      <c r="J7">
        <v>51.6</v>
      </c>
      <c r="K7" t="s">
        <v>32</v>
      </c>
    </row>
    <row r="8" spans="3:11" x14ac:dyDescent="0.2">
      <c r="C8" t="s">
        <v>24</v>
      </c>
      <c r="D8">
        <v>61.854999999999997</v>
      </c>
      <c r="E8">
        <v>62.33699</v>
      </c>
      <c r="F8">
        <v>62.392499999999998</v>
      </c>
      <c r="G8">
        <v>62.336993210000003</v>
      </c>
      <c r="H8">
        <v>62.328389999999999</v>
      </c>
      <c r="I8">
        <v>62.286200000000001</v>
      </c>
      <c r="J8">
        <v>58.9</v>
      </c>
    </row>
    <row r="9" spans="3:11" x14ac:dyDescent="0.2">
      <c r="C9" t="s">
        <v>25</v>
      </c>
      <c r="D9">
        <v>59.1068</v>
      </c>
      <c r="E9">
        <v>61.228769999999997</v>
      </c>
      <c r="F9">
        <v>60.6479</v>
      </c>
      <c r="G9">
        <v>0.61228775000000002</v>
      </c>
      <c r="H9">
        <v>61.982488632202099</v>
      </c>
      <c r="I9">
        <v>61.898400000000002</v>
      </c>
      <c r="J9" s="4">
        <v>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Implementation</vt:lpstr>
      <vt:lpstr>Novelty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2026-03-02T09:52:19Z</dcterms:created>
  <dcterms:modified xsi:type="dcterms:W3CDTF">2026-03-27T16:48:26Z</dcterms:modified>
</cp:coreProperties>
</file>